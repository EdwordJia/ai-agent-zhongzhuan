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44" windowHeight="99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5E3BD91E0214FA9BC36FA6A7B4E796E" descr="效果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03090" y="1137285"/>
          <a:ext cx="10042525" cy="100933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<sst xmlns="http://schemas.openxmlformats.org/spreadsheetml/2006/main" count="37" uniqueCount="37">
  <si>
    <t>市场供需关系分析</t>
  </si>
  <si>
    <t>产品属性</t>
  </si>
  <si>
    <t>关键词</t>
  </si>
  <si>
    <t>1688上架标题</t>
  </si>
  <si>
    <t>产品图</t>
  </si>
  <si>
    <t>箱规</t>
  </si>
  <si>
    <t>装箱数</t>
  </si>
  <si>
    <t>一箱重量</t>
  </si>
  <si>
    <t>产品编码</t>
  </si>
  <si>
    <t>产品包装</t>
  </si>
  <si>
    <t>产品尺寸约</t>
  </si>
  <si>
    <t>包装尺寸约</t>
  </si>
  <si>
    <t>产品包材材质</t>
  </si>
  <si>
    <t>产品成分</t>
  </si>
  <si>
    <t>毛重约</t>
  </si>
  <si>
    <t>采购价格（RMB）</t>
  </si>
  <si>
    <t>回货时间</t>
  </si>
  <si>
    <t>货期情况说明</t>
  </si>
  <si>
    <t>阿里链接</t>
  </si>
  <si>
    <t>外部链接1</t>
  </si>
  <si>
    <t>外部链接2</t>
  </si>
  <si>
    <t>外部链接3</t>
  </si>
  <si>
    <r>
      <t>HOYGI</t>
    </r>
    <r>
      <rPr>
        <sz val="10.5"/>
        <color theme="1"/>
        <rFont val="宋体"/>
        <charset val="134"/>
      </rPr>
      <t xml:space="preserve"> 蜂毒保湿身体乳霜</t>
    </r>
  </si>
  <si>
    <r>
      <t>蜂毒保湿身体乳霜淡纹</t>
    </r>
    <r>
      <rPr>
        <sz val="10.5"/>
        <color theme="1"/>
        <rFont val="宋体"/>
        <charset val="134"/>
      </rPr>
      <t>护理提拉紧致</t>
    </r>
    <r>
      <rPr>
        <sz val="10.5"/>
        <color theme="1"/>
        <rFont val="宋体"/>
        <charset val="134"/>
      </rPr>
      <t>保湿身体乳蜂蜜</t>
    </r>
  </si>
  <si>
    <t xml:space="preserve"> 56*36*21CM</t>
  </si>
  <si>
    <t>406PCS</t>
  </si>
  <si>
    <t>HO-A05-0926-02</t>
  </si>
  <si>
    <t>盒装</t>
  </si>
  <si>
    <t>7*13.6CM</t>
  </si>
  <si>
    <t>7.2*3.8*13.8CM</t>
  </si>
  <si>
    <t>pet</t>
  </si>
  <si>
    <t>水、甘油、鲸蜡硬脂醇、甘油硬脂酸酯、卡波姆、三乙醇胺、向日葵籽油、蜂毒、蜂蜜</t>
  </si>
  <si>
    <t>150g</t>
  </si>
  <si>
    <t>199G</t>
  </si>
  <si>
    <t>（2025/4/8）</t>
  </si>
  <si>
    <t>新品-货期7天</t>
  </si>
  <si>
    <t>https://www.gifttree.co.nz/products/gift-tree-rozino-bee-venom-skincare-combo-set-hydrating-and-firming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</si>
</sst>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SimSun"/>
      <charset val="134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6" applyFont="1" applyAlignment="1">
      <alignment horizontal="justify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ifttree.co.nz/products/gift-tree-rozino-bee-venom-skincare-combo-set-hydrating-and-firm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tabSelected="1" zoomScale="85" zoomScaleNormal="85" workbookViewId="0">
      <selection activeCell="C12" sqref="C12"/>
    </sheetView>
  </sheetViews>
  <sheetFormatPr defaultColWidth="9.125" defaultRowHeight="15.6"/>
  <cols>
    <col min="1" max="1" width="29" customWidth="1"/>
    <col min="2" max="3" width="23.625" customWidth="1"/>
    <col min="4" max="4" width="12.125" customWidth="1"/>
    <col min="6" max="6" width="13.625" customWidth="1"/>
    <col min="7" max="7" width="19.5" customWidth="1"/>
    <col min="8" max="10" width="11.875" customWidth="1"/>
    <col min="12" max="12" width="25.875" customWidth="1"/>
    <col min="13" max="13" width="15.25" customWidth="1"/>
    <col min="14" max="15" width="10.125" customWidth="1"/>
    <col min="16" max="16" width="13.75" customWidth="1"/>
    <col min="17" max="17" width="15.125" customWidth="1"/>
    <col min="18" max="18" width="10.125" customWidth="1"/>
    <col min="19" max="19" width="22.125" customWidth="1"/>
    <col min="20" max="21" width="10.125" customWidth="1"/>
  </cols>
  <sheetData>
    <row r="1" spans="1:2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6.35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9.55" spans="1:29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6" t="s">
        <v>8</v>
      </c>
      <c r="H3" s="4" t="s">
        <v>9</v>
      </c>
      <c r="I3" s="13" t="s">
        <v>10</v>
      </c>
      <c r="J3" s="13" t="s">
        <v>11</v>
      </c>
      <c r="K3" s="4" t="s">
        <v>12</v>
      </c>
      <c r="L3" s="4" t="s">
        <v>13</v>
      </c>
      <c r="M3" s="4" t="str">
        <f>IF(RIGHT(M4,1)="G","净重",IF(RIGHT(M4,2)="ML","容量","规格"))</f>
        <v>净重</v>
      </c>
      <c r="N3" s="4" t="s">
        <v>14</v>
      </c>
      <c r="O3" s="4" t="s">
        <v>15</v>
      </c>
      <c r="P3" s="13" t="s">
        <v>16</v>
      </c>
      <c r="Q3" s="13" t="s">
        <v>17</v>
      </c>
      <c r="R3" s="4" t="s">
        <v>18</v>
      </c>
      <c r="S3" s="13" t="s">
        <v>19</v>
      </c>
      <c r="T3" s="13" t="s">
        <v>20</v>
      </c>
      <c r="U3" s="13" t="s">
        <v>21</v>
      </c>
      <c r="V3" s="9"/>
      <c r="W3" s="9"/>
      <c r="X3" s="9"/>
      <c r="Y3" s="9"/>
      <c r="Z3" s="9"/>
      <c r="AA3" s="9"/>
      <c r="AB3" s="9"/>
      <c r="AC3" s="9"/>
    </row>
    <row r="4" ht="129" customHeight="1" spans="1:21">
      <c r="A4" s="7" t="s">
        <v>22</v>
      </c>
      <c r="B4" s="8" t="s">
        <v>23</v>
      </c>
      <c r="C4" s="9" t="str">
        <f>_xlfn.DISPIMG("ID_45E3BD91E0214FA9BC36FA6A7B4E796E",1)</f>
        <v>=DISPIMG("ID_45E3BD91E0214FA9BC36FA6A7B4E796E",1)</v>
      </c>
      <c r="D4" s="10" t="s">
        <v>24</v>
      </c>
      <c r="E4" s="9" t="s">
        <v>25</v>
      </c>
      <c r="F4" s="10" t="str">
        <f>TEXT(VALUE(LEFT(E4,LEN(E4)-3))*(VALUE(LEFT(N4,LEN(N4)-1))/1000)+0.75,"0.00")&amp;"KG"</f>
        <v>81.54KG</v>
      </c>
      <c r="G4" s="11" t="s">
        <v>26</v>
      </c>
      <c r="H4" s="9" t="s">
        <v>27</v>
      </c>
      <c r="I4" s="12" t="s">
        <v>28</v>
      </c>
      <c r="J4" s="14" t="s">
        <v>29</v>
      </c>
      <c r="K4" s="10" t="s">
        <v>30</v>
      </c>
      <c r="L4" s="8" t="s">
        <v>31</v>
      </c>
      <c r="M4" s="15" t="s">
        <v>32</v>
      </c>
      <c r="N4" s="15" t="s">
        <v>33</v>
      </c>
      <c r="O4" s="15">
        <v>5</v>
      </c>
      <c r="P4" s="16" t="s">
        <v>34</v>
      </c>
      <c r="Q4" s="12" t="s">
        <v>35</v>
      </c>
      <c r="R4" s="15"/>
      <c r="S4" s="18" t="s">
        <v>36</v>
      </c>
      <c r="T4" s="15"/>
      <c r="U4" s="15"/>
    </row>
    <row r="5" ht="14" customHeight="1" spans="1:13">
      <c r="A5" s="12"/>
      <c r="B5" s="9"/>
      <c r="C5" s="9"/>
      <c r="D5" s="9"/>
      <c r="E5" s="9"/>
      <c r="F5" s="9"/>
      <c r="G5" s="9"/>
      <c r="H5" s="9"/>
      <c r="I5" s="12"/>
      <c r="J5" s="12"/>
      <c r="K5" s="10"/>
      <c r="L5" s="10"/>
      <c r="M5" s="15"/>
    </row>
    <row r="9" spans="12:12">
      <c r="L9" s="17"/>
    </row>
  </sheetData>
  <mergeCells count="2">
    <mergeCell ref="A1:E2"/>
    <mergeCell ref="F1:U2"/>
  </mergeCells>
  <dataValidations count="1">
    <dataValidation allowBlank="1" showInputMessage="1" showErrorMessage="1" sqref="M3"/>
  </dataValidations>
  <hyperlinks>
    <hyperlink ref="S4" r:id="rId1" display="https://www.gifttree.co.nz/products/gift-tree-rozino-bee-venom-skincare-combo-set-hydrating-and-firming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huangweijie</dc:creator>
  <cp:lastModifiedBy>B</cp:lastModifiedBy>
  <dcterms:created xsi:type="dcterms:W3CDTF">2021-07-12T15:14:00Z</dcterms:created>
  <dcterms:modified xsi:type="dcterms:W3CDTF">2025-03-31T10:45:30Z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77E6938485A64E1E86149DDF25D14D1E_13</vt:lpwstr>
  </property>
</Properties>
</file>